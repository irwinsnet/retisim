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cy\dev\retirement\repos\retisim\packages\returns\tests\data\"/>
    </mc:Choice>
  </mc:AlternateContent>
  <xr:revisionPtr revIDLastSave="0" documentId="13_ncr:1_{C0A3C317-8A4C-494A-ABD5-41026E5222F3}" xr6:coauthVersionLast="47" xr6:coauthVersionMax="47" xr10:uidLastSave="{00000000-0000-0000-0000-000000000000}"/>
  <bookViews>
    <workbookView xWindow="40920" yWindow="-120" windowWidth="29040" windowHeight="16440" xr2:uid="{AB2BBB8F-A241-44C5-B52F-AD8F4F4DDCEA}"/>
  </bookViews>
  <sheets>
    <sheet name="Sheet1" sheetId="1" r:id="rId1"/>
  </sheets>
  <definedNames>
    <definedName name="_xlnm._FilterDatabase" localSheetId="0" hidden="1">Sheet1!$N$2:$N$41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sharedStrings.xml><?xml version="1.0" encoding="utf-8"?>
<sst xmlns="http://schemas.openxmlformats.org/spreadsheetml/2006/main" count="17" uniqueCount="17">
  <si>
    <t>Asset Class</t>
  </si>
  <si>
    <t>lcap</t>
  </si>
  <si>
    <t>scap</t>
  </si>
  <si>
    <t>idev</t>
  </si>
  <si>
    <t>iemerg</t>
  </si>
  <si>
    <t>can</t>
  </si>
  <si>
    <t>bonds</t>
  </si>
  <si>
    <t>hyieldbonds</t>
  </si>
  <si>
    <t>ibonds</t>
  </si>
  <si>
    <t>canbonds</t>
  </si>
  <si>
    <t>tbill</t>
  </si>
  <si>
    <t>reit</t>
  </si>
  <si>
    <t>gold</t>
  </si>
  <si>
    <t>ffrate</t>
  </si>
  <si>
    <t>ffrate_dif</t>
  </si>
  <si>
    <t>inf</t>
  </si>
  <si>
    <t>inf_dif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</si>
</sst>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%_);\(#,##0.0%\);\-\-_)"/>
    <numFmt numFmtId="171" formatCode="#,##0.00%_);\(#,##0.00%\);\-\-_)"/>
  </numFmts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6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/>
      <right/>
      <top/>
      <bottom style="thin">
        <color rgb="FFC9C9C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right" vertical="center"/>
    </xf>
    <xf numFmtId="10" fontId="0" fillId="0" borderId="0" xfId="0" applyNumberFormat="1"/>
    <xf numFmtId="10" fontId="4" fillId="0" borderId="0" xfId="0" applyNumberFormat="1" applyFont="1" applyAlignment="1">
      <alignment vertical="center" wrapText="1"/>
    </xf>
    <xf numFmtId="171" fontId="3" fillId="0" borderId="0" xfId="0" applyNumberFormat="1" applyFont="1" applyAlignment="1">
      <alignment horizontal="right" vertical="center"/>
    </xf>
    <xf numFmtId="171" fontId="3" fillId="0" borderId="2" xfId="0" applyNumberFormat="1" applyFont="1" applyBorder="1" applyAlignment="1">
      <alignment horizontal="right" vertical="center"/>
    </xf>
    <xf numFmtId="171" fontId="3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1387-462A-4072-AE66-0D2EF05C82DB}">
  <dimension ref="A1:Q42"/>
  <sheetViews>
    <sheetView tabSelected="1" workbookViewId="0">
      <selection activeCell="Q18" sqref="Q18"/>
    </sheetView>
  </sheetViews>
  <sheetFormatPr defaultRowHeight="14.25" x14ac:dyDescent="0.45"/>
  <cols>
    <col min="1" max="1" width="12.9296875" customWidth="1"/>
    <col min="8" max="8" width="12.6640625" customWidth="1"/>
    <col min="10" max="10" width="11.73046875" customWidth="1"/>
  </cols>
  <sheetData>
    <row r="1" spans="1:17" ht="26.2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45">
      <c r="A2" s="3">
        <v>1985</v>
      </c>
      <c r="B2" s="4">
        <v>0.2642603167429094</v>
      </c>
      <c r="C2" s="4">
        <v>0.26186414048236628</v>
      </c>
      <c r="D2" s="4">
        <v>0.50343979132265249</v>
      </c>
      <c r="E2" s="4">
        <v>0.22920443890244124</v>
      </c>
      <c r="F2" s="4">
        <v>0.1982758620689653</v>
      </c>
      <c r="G2" s="4">
        <v>0.17551927511675047</v>
      </c>
      <c r="H2" s="4">
        <v>0.17525069881061306</v>
      </c>
      <c r="I2" s="4">
        <v>6.9541457735923018E-2</v>
      </c>
      <c r="J2" s="4">
        <v>0.16091954022988508</v>
      </c>
      <c r="K2" s="4">
        <v>3.7825793656706352E-2</v>
      </c>
      <c r="L2" s="4">
        <v>0.14600509717707433</v>
      </c>
      <c r="M2" s="4">
        <v>1.69815873856074E-2</v>
      </c>
      <c r="N2" s="9">
        <v>8.1000000000000003E-2</v>
      </c>
      <c r="O2" s="10">
        <v>-1.2999999999999998E-2</v>
      </c>
      <c r="P2" s="11">
        <v>3.9E-2</v>
      </c>
      <c r="Q2" s="11">
        <v>-1.0000000000000009E-3</v>
      </c>
    </row>
    <row r="3" spans="1:17" x14ac:dyDescent="0.45">
      <c r="A3" s="5">
        <f t="shared" ref="A3:A41" si="0">A2+1</f>
        <v>1986</v>
      </c>
      <c r="B3" s="6">
        <v>0.16778711547511316</v>
      </c>
      <c r="C3" s="6">
        <v>4.4793821279405677E-2</v>
      </c>
      <c r="D3" s="6">
        <v>0.6748269960349027</v>
      </c>
      <c r="E3" s="6">
        <v>0.10367719626780669</v>
      </c>
      <c r="F3" s="6">
        <v>4.606525911708248E-2</v>
      </c>
      <c r="G3" s="6">
        <v>0.13933233062648021</v>
      </c>
      <c r="H3" s="6">
        <v>0.15591179411764711</v>
      </c>
      <c r="I3" s="6">
        <v>0.10065454859383172</v>
      </c>
      <c r="J3" s="6">
        <v>0.10076775431861806</v>
      </c>
      <c r="K3" s="6">
        <v>4.9867989488193709E-2</v>
      </c>
      <c r="L3" s="6">
        <v>0.17722570905863178</v>
      </c>
      <c r="M3" s="6">
        <v>0.17948223594859014</v>
      </c>
      <c r="N3" s="10">
        <v>6.8000000000000005E-2</v>
      </c>
      <c r="O3" s="10">
        <v>-1.3999999999999985E-3</v>
      </c>
      <c r="P3" s="10">
        <v>3.7999999999999999E-2</v>
      </c>
      <c r="Q3" s="10">
        <v>-2.7E-2</v>
      </c>
    </row>
    <row r="4" spans="1:17" x14ac:dyDescent="0.45">
      <c r="A4" s="5">
        <f t="shared" si="0"/>
        <v>1987</v>
      </c>
      <c r="B4" s="6">
        <v>2.5941728769498518E-3</v>
      </c>
      <c r="C4" s="6">
        <v>-0.1271690870336063</v>
      </c>
      <c r="D4" s="6">
        <v>0.19256874477293984</v>
      </c>
      <c r="E4" s="6">
        <v>9.3403871544364803E-2</v>
      </c>
      <c r="F4" s="6">
        <v>1.6314779270633295E-2</v>
      </c>
      <c r="G4" s="6">
        <v>-2.7757132149046737E-2</v>
      </c>
      <c r="H4" s="6">
        <v>-1.7074444107452402E-2</v>
      </c>
      <c r="I4" s="6">
        <v>4.5177868469466809E-2</v>
      </c>
      <c r="J4" s="6">
        <v>-1.9193857965451588E-3</v>
      </c>
      <c r="K4" s="6">
        <v>1.3081518228048816E-2</v>
      </c>
      <c r="L4" s="6">
        <v>-7.842705737517075E-2</v>
      </c>
      <c r="M4" s="6">
        <v>0.19016375698535293</v>
      </c>
      <c r="N4" s="10">
        <v>6.6600000000000006E-2</v>
      </c>
      <c r="O4" s="10">
        <v>9.099999999999997E-3</v>
      </c>
      <c r="P4" s="10">
        <v>1.0999999999999999E-2</v>
      </c>
      <c r="Q4" s="10">
        <v>3.3000000000000002E-2</v>
      </c>
    </row>
    <row r="5" spans="1:17" x14ac:dyDescent="0.45">
      <c r="A5" s="5">
        <f t="shared" si="0"/>
        <v>1988</v>
      </c>
      <c r="B5" s="6">
        <v>0.11301126074688805</v>
      </c>
      <c r="C5" s="6">
        <v>0.19666622821369439</v>
      </c>
      <c r="D5" s="6">
        <v>0.22754087309008209</v>
      </c>
      <c r="E5" s="6">
        <v>0.33894016338387756</v>
      </c>
      <c r="F5" s="6">
        <v>6.8269230769230749E-2</v>
      </c>
      <c r="G5" s="6">
        <v>2.8091992033195234E-2</v>
      </c>
      <c r="H5" s="6">
        <v>8.7501731618257361E-2</v>
      </c>
      <c r="I5" s="6">
        <v>4.3826659056780182E-2</v>
      </c>
      <c r="J5" s="6">
        <v>5.5769230769230793E-2</v>
      </c>
      <c r="K5" s="6">
        <v>2.1485685455704173E-2</v>
      </c>
      <c r="L5" s="6">
        <v>8.5530062845746935E-2</v>
      </c>
      <c r="M5" s="6">
        <v>-0.19559122509079974</v>
      </c>
      <c r="N5" s="10">
        <v>7.5700000000000003E-2</v>
      </c>
      <c r="O5" s="10">
        <v>1.6399999999999998E-2</v>
      </c>
      <c r="P5" s="10">
        <v>4.3999999999999997E-2</v>
      </c>
      <c r="Q5" s="10">
        <v>0</v>
      </c>
    </row>
    <row r="6" spans="1:17" x14ac:dyDescent="0.45">
      <c r="A6" s="5">
        <f t="shared" si="0"/>
        <v>1989</v>
      </c>
      <c r="B6" s="6">
        <v>0.25531137787470248</v>
      </c>
      <c r="C6" s="6">
        <v>0.11044063693767692</v>
      </c>
      <c r="D6" s="6">
        <v>5.5537749269405134E-2</v>
      </c>
      <c r="E6" s="6">
        <v>0.56943696896851703</v>
      </c>
      <c r="F6" s="6">
        <v>0.15399239543726218</v>
      </c>
      <c r="G6" s="6">
        <v>8.5971036478984963E-2</v>
      </c>
      <c r="H6" s="6">
        <v>-2.6347099524187345E-2</v>
      </c>
      <c r="I6" s="6">
        <v>-6.1974987703852236E-3</v>
      </c>
      <c r="J6" s="6">
        <v>7.2243346007604625E-2</v>
      </c>
      <c r="K6" s="6">
        <v>3.7135758626118509E-2</v>
      </c>
      <c r="L6" s="6">
        <v>3.8829517188414098E-2</v>
      </c>
      <c r="M6" s="6">
        <v>-6.8057235578776965E-2</v>
      </c>
      <c r="N6" s="10">
        <v>9.2100000000000001E-2</v>
      </c>
      <c r="O6" s="10">
        <v>-1.1099999999999999E-2</v>
      </c>
      <c r="P6" s="10">
        <v>4.3999999999999997E-2</v>
      </c>
      <c r="Q6" s="10">
        <v>2.0000000000000018E-3</v>
      </c>
    </row>
    <row r="7" spans="1:17" x14ac:dyDescent="0.45">
      <c r="A7" s="5">
        <f t="shared" si="0"/>
        <v>1990</v>
      </c>
      <c r="B7" s="6">
        <v>-8.8882262331838824E-2</v>
      </c>
      <c r="C7" s="6">
        <v>-0.22838740859491791</v>
      </c>
      <c r="D7" s="6">
        <v>-0.2790269239783274</v>
      </c>
      <c r="E7" s="6">
        <v>-0.1606809904410923</v>
      </c>
      <c r="F7" s="6">
        <v>-0.18857142857142861</v>
      </c>
      <c r="G7" s="6">
        <v>2.3975164275037208E-2</v>
      </c>
      <c r="H7" s="6">
        <v>-0.11263646763826629</v>
      </c>
      <c r="I7" s="6">
        <v>-2.7333178869462071E-2</v>
      </c>
      <c r="J7" s="6">
        <v>2.3809523809523725E-2</v>
      </c>
      <c r="K7" s="6">
        <v>1.6213285770758423E-2</v>
      </c>
      <c r="L7" s="6">
        <v>-0.20318208112895342</v>
      </c>
      <c r="M7" s="6">
        <v>-8.3342793762976819E-2</v>
      </c>
      <c r="N7" s="10">
        <v>8.1000000000000003E-2</v>
      </c>
      <c r="O7" s="10">
        <v>-2.4100000000000003E-2</v>
      </c>
      <c r="P7" s="10">
        <v>4.5999999999999999E-2</v>
      </c>
      <c r="Q7" s="10">
        <v>1.4999999999999999E-2</v>
      </c>
    </row>
    <row r="8" spans="1:17" x14ac:dyDescent="0.45">
      <c r="A8" s="5">
        <f t="shared" si="0"/>
        <v>1991</v>
      </c>
      <c r="B8" s="6">
        <v>0.26349833589557647</v>
      </c>
      <c r="C8" s="6">
        <v>0.40940582900652656</v>
      </c>
      <c r="D8" s="6">
        <v>8.7162420098534366E-2</v>
      </c>
      <c r="E8" s="6">
        <v>0.54475806514442926</v>
      </c>
      <c r="F8" s="6">
        <v>7.899807321772645E-2</v>
      </c>
      <c r="G8" s="6">
        <v>0.11819561102248</v>
      </c>
      <c r="H8" s="6">
        <v>0.25171840536620738</v>
      </c>
      <c r="I8" s="6">
        <v>7.4731054433306854E-2</v>
      </c>
      <c r="J8" s="6">
        <v>0.17630057803468202</v>
      </c>
      <c r="K8" s="6">
        <v>2.5158896514529294E-2</v>
      </c>
      <c r="L8" s="6">
        <v>0.31503540044912004</v>
      </c>
      <c r="M8" s="6">
        <v>-0.12522322229234739</v>
      </c>
      <c r="N8" s="10">
        <v>5.6899999999999999E-2</v>
      </c>
      <c r="O8" s="10">
        <v>-2.1699999999999997E-2</v>
      </c>
      <c r="P8" s="10">
        <v>6.0999999999999999E-2</v>
      </c>
      <c r="Q8" s="10">
        <v>-0.03</v>
      </c>
    </row>
    <row r="9" spans="1:17" x14ac:dyDescent="0.45">
      <c r="A9" s="5">
        <f t="shared" si="0"/>
        <v>1992</v>
      </c>
      <c r="B9" s="6">
        <v>4.3951590556730036E-2</v>
      </c>
      <c r="C9" s="6">
        <v>0.14870738872445388</v>
      </c>
      <c r="D9" s="6">
        <v>-0.14707942579729061</v>
      </c>
      <c r="E9" s="6">
        <v>7.7886043701411278E-2</v>
      </c>
      <c r="F9" s="6">
        <v>-3.4280117531831467E-2</v>
      </c>
      <c r="G9" s="6">
        <v>4.1216233756166343E-2</v>
      </c>
      <c r="H9" s="6">
        <v>0.11021676793516555</v>
      </c>
      <c r="I9" s="6">
        <v>3.3050573826155505E-2</v>
      </c>
      <c r="J9" s="6">
        <v>7.5416258570029537E-2</v>
      </c>
      <c r="K9" s="6">
        <v>6.0927942864106299E-3</v>
      </c>
      <c r="L9" s="6">
        <v>0.11226094493514061</v>
      </c>
      <c r="M9" s="6">
        <v>-8.6844477319737878E-2</v>
      </c>
      <c r="N9" s="10">
        <v>3.5200000000000002E-2</v>
      </c>
      <c r="O9" s="10">
        <v>-5.000000000000001E-3</v>
      </c>
      <c r="P9" s="10">
        <v>3.1E-2</v>
      </c>
      <c r="Q9" s="10">
        <v>-1.9999999999999983E-3</v>
      </c>
    </row>
    <row r="10" spans="1:17" x14ac:dyDescent="0.45">
      <c r="A10" s="5">
        <f t="shared" si="0"/>
        <v>1993</v>
      </c>
      <c r="B10" s="6">
        <v>6.9528816255143955E-2</v>
      </c>
      <c r="C10" s="6">
        <v>0.15528439753086398</v>
      </c>
      <c r="D10" s="6">
        <v>0.28924454281180134</v>
      </c>
      <c r="E10" s="6">
        <v>0.69414107847125028</v>
      </c>
      <c r="F10" s="6">
        <v>0.30285152409046212</v>
      </c>
      <c r="G10" s="6">
        <v>6.748148539094645E-2</v>
      </c>
      <c r="H10" s="6">
        <v>0.1507922600823044</v>
      </c>
      <c r="I10" s="6">
        <v>0.10653596352654038</v>
      </c>
      <c r="J10" s="6">
        <v>0.16125860373648004</v>
      </c>
      <c r="K10" s="6">
        <v>2.3756631687241736E-3</v>
      </c>
      <c r="L10" s="6">
        <v>0.16314433893319746</v>
      </c>
      <c r="M10" s="6">
        <v>0.13923814229857423</v>
      </c>
      <c r="N10" s="10">
        <v>3.0200000000000001E-2</v>
      </c>
      <c r="O10" s="10">
        <v>1.1899999999999997E-2</v>
      </c>
      <c r="P10" s="10">
        <v>2.9000000000000001E-2</v>
      </c>
      <c r="Q10" s="10">
        <v>-2.0000000000000018E-3</v>
      </c>
    </row>
    <row r="11" spans="1:17" x14ac:dyDescent="0.45">
      <c r="A11" s="5">
        <f t="shared" si="0"/>
        <v>1994</v>
      </c>
      <c r="B11" s="6">
        <v>-1.4599256112224346E-2</v>
      </c>
      <c r="C11" s="6">
        <v>-3.0998298597194163E-2</v>
      </c>
      <c r="D11" s="6">
        <v>4.8967967312661065E-2</v>
      </c>
      <c r="E11" s="6">
        <v>-0.10126773771173414</v>
      </c>
      <c r="F11" s="6">
        <v>-3.9920159680638667E-3</v>
      </c>
      <c r="G11" s="6">
        <v>-5.1924445691382659E-2</v>
      </c>
      <c r="H11" s="6">
        <v>-4.2722098997995839E-2</v>
      </c>
      <c r="I11" s="6">
        <v>-7.2947534865955954E-2</v>
      </c>
      <c r="J11" s="6">
        <v>-4.4910179640718639E-2</v>
      </c>
      <c r="K11" s="6">
        <v>1.2840849298597412E-2</v>
      </c>
      <c r="L11" s="6">
        <v>3.624512308676664E-3</v>
      </c>
      <c r="M11" s="6">
        <v>-4.8749413440346889E-2</v>
      </c>
      <c r="N11" s="10">
        <v>4.2099999999999999E-2</v>
      </c>
      <c r="O11" s="10">
        <v>1.6199999999999999E-2</v>
      </c>
      <c r="P11" s="10">
        <v>2.7E-2</v>
      </c>
      <c r="Q11" s="10">
        <v>0</v>
      </c>
    </row>
    <row r="12" spans="1:17" x14ac:dyDescent="0.45">
      <c r="A12" s="5">
        <f t="shared" si="0"/>
        <v>1995</v>
      </c>
      <c r="B12" s="6">
        <v>0.34043174449511393</v>
      </c>
      <c r="C12" s="6">
        <v>0.25552980397394132</v>
      </c>
      <c r="D12" s="6">
        <v>8.3788785569970825E-2</v>
      </c>
      <c r="E12" s="6">
        <v>-1.9327783127035869E-2</v>
      </c>
      <c r="F12" s="6">
        <v>0.12475442043221996</v>
      </c>
      <c r="G12" s="6">
        <v>0.15255678162866437</v>
      </c>
      <c r="H12" s="6">
        <v>0.16204366560260586</v>
      </c>
      <c r="I12" s="6">
        <v>0.14293342164010436</v>
      </c>
      <c r="J12" s="6">
        <v>0.18565815324165036</v>
      </c>
      <c r="K12" s="6">
        <v>3.0640809055374474E-2</v>
      </c>
      <c r="L12" s="6">
        <v>9.9779840738344783E-2</v>
      </c>
      <c r="M12" s="6">
        <v>-1.6505863159690493E-2</v>
      </c>
      <c r="N12" s="10">
        <v>5.8299999999999998E-2</v>
      </c>
      <c r="O12" s="10">
        <v>-5.2999999999999992E-3</v>
      </c>
      <c r="P12" s="10">
        <v>2.7E-2</v>
      </c>
      <c r="Q12" s="10">
        <v>-1.9999999999999983E-3</v>
      </c>
    </row>
    <row r="13" spans="1:17" x14ac:dyDescent="0.45">
      <c r="A13" s="5">
        <f t="shared" si="0"/>
        <v>1996</v>
      </c>
      <c r="B13" s="6">
        <v>0.18925712263556127</v>
      </c>
      <c r="C13" s="6">
        <v>0.14319841204287509</v>
      </c>
      <c r="D13" s="6">
        <v>2.5651277082082924E-2</v>
      </c>
      <c r="E13" s="6">
        <v>0.12104727805800763</v>
      </c>
      <c r="F13" s="6">
        <v>0.25538160469667304</v>
      </c>
      <c r="G13" s="6">
        <v>2.5137263556116451E-3</v>
      </c>
      <c r="H13" s="6">
        <v>6.0236017339218018E-2</v>
      </c>
      <c r="I13" s="6">
        <v>8.3451978359743606E-2</v>
      </c>
      <c r="J13" s="6">
        <v>9.8825831702544109E-2</v>
      </c>
      <c r="K13" s="6">
        <v>1.8712234867591437E-2</v>
      </c>
      <c r="L13" s="6">
        <v>0.31365545676839734</v>
      </c>
      <c r="M13" s="6">
        <v>-7.7386380203337768E-2</v>
      </c>
      <c r="N13" s="10">
        <v>5.2999999999999999E-2</v>
      </c>
      <c r="O13" s="10">
        <v>1.6000000000000042E-3</v>
      </c>
      <c r="P13" s="10">
        <v>2.5000000000000001E-2</v>
      </c>
      <c r="Q13" s="10">
        <v>8.0000000000000002E-3</v>
      </c>
    </row>
    <row r="14" spans="1:17" x14ac:dyDescent="0.45">
      <c r="A14" s="5">
        <f t="shared" si="0"/>
        <v>1997</v>
      </c>
      <c r="B14" s="6">
        <v>0.30960896974581509</v>
      </c>
      <c r="C14" s="6">
        <v>0.22504311543707356</v>
      </c>
      <c r="D14" s="6">
        <v>4.2273818122717799E-5</v>
      </c>
      <c r="E14" s="6">
        <v>-0.18216469522628664</v>
      </c>
      <c r="F14" s="6">
        <v>0.14200595829195639</v>
      </c>
      <c r="G14" s="6">
        <v>7.6114274023558304E-2</v>
      </c>
      <c r="H14" s="6">
        <v>0.10033425406075636</v>
      </c>
      <c r="I14" s="6">
        <v>8.9016417093088052E-2</v>
      </c>
      <c r="J14" s="6">
        <v>8.8381330685203707E-2</v>
      </c>
      <c r="K14" s="6">
        <v>3.5309532300061841E-2</v>
      </c>
      <c r="L14" s="6">
        <v>0.16784869101053923</v>
      </c>
      <c r="M14" s="6">
        <v>-0.23244498029569605</v>
      </c>
      <c r="N14" s="10">
        <v>5.4600000000000003E-2</v>
      </c>
      <c r="O14" s="10">
        <v>-1.1000000000000038E-3</v>
      </c>
      <c r="P14" s="10">
        <v>3.3000000000000002E-2</v>
      </c>
      <c r="Q14" s="10">
        <v>-1.6E-2</v>
      </c>
    </row>
    <row r="15" spans="1:17" x14ac:dyDescent="0.45">
      <c r="A15" s="5">
        <f t="shared" si="0"/>
        <v>1998</v>
      </c>
      <c r="B15" s="6">
        <v>0.26576804331909698</v>
      </c>
      <c r="C15" s="6">
        <v>-4.1582463758389254E-2</v>
      </c>
      <c r="D15" s="6">
        <v>0.18010702563117365</v>
      </c>
      <c r="E15" s="6">
        <v>-0.1942192070774863</v>
      </c>
      <c r="F15" s="6">
        <v>-2.5742574257425765E-2</v>
      </c>
      <c r="G15" s="6">
        <v>6.8591636302623549E-2</v>
      </c>
      <c r="H15" s="6">
        <v>3.9409031665649685E-2</v>
      </c>
      <c r="I15" s="6">
        <v>0.10165001884138536</v>
      </c>
      <c r="J15" s="6">
        <v>8.118811881188126E-2</v>
      </c>
      <c r="K15" s="6">
        <v>3.4881609334960206E-2</v>
      </c>
      <c r="L15" s="6">
        <v>-0.17651862336790725</v>
      </c>
      <c r="M15" s="6">
        <v>-2.4257894373279743E-2</v>
      </c>
      <c r="N15" s="10">
        <v>5.3499999999999999E-2</v>
      </c>
      <c r="O15" s="10">
        <v>-3.7999999999999978E-3</v>
      </c>
      <c r="P15" s="10">
        <v>1.7000000000000001E-2</v>
      </c>
      <c r="Q15" s="10">
        <v>-1.0000000000000009E-3</v>
      </c>
    </row>
    <row r="16" spans="1:17" x14ac:dyDescent="0.45">
      <c r="A16" s="5">
        <f t="shared" si="0"/>
        <v>1999</v>
      </c>
      <c r="B16" s="6">
        <v>0.17903252026143779</v>
      </c>
      <c r="C16" s="6">
        <v>0.19913778169934626</v>
      </c>
      <c r="D16" s="6">
        <v>0.23558490690503597</v>
      </c>
      <c r="E16" s="6">
        <v>0.57347574052287609</v>
      </c>
      <c r="F16" s="6">
        <v>0.28362573099415189</v>
      </c>
      <c r="G16" s="6">
        <v>-3.3537112418300707E-2</v>
      </c>
      <c r="H16" s="6">
        <v>-1.8635104575163153E-3</v>
      </c>
      <c r="I16" s="6">
        <v>-6.439910216409106E-3</v>
      </c>
      <c r="J16" s="6">
        <v>-3.6062378167641351E-2</v>
      </c>
      <c r="K16" s="6">
        <v>2.0016506535947887E-2</v>
      </c>
      <c r="L16" s="6">
        <v>-6.5480862091503167E-2</v>
      </c>
      <c r="M16" s="6">
        <v>-1.708221668052079E-2</v>
      </c>
      <c r="N16" s="10">
        <v>4.9700000000000001E-2</v>
      </c>
      <c r="O16" s="10">
        <v>1.2699999999999996E-2</v>
      </c>
      <c r="P16" s="10">
        <v>1.6E-2</v>
      </c>
      <c r="Q16" s="10">
        <v>1.0999999999999999E-2</v>
      </c>
    </row>
    <row r="17" spans="1:17" x14ac:dyDescent="0.45">
      <c r="A17" s="5">
        <f t="shared" si="0"/>
        <v>2000</v>
      </c>
      <c r="B17" s="6">
        <v>-0.12020120706896542</v>
      </c>
      <c r="C17" s="6">
        <v>-5.8311009999999941E-2</v>
      </c>
      <c r="D17" s="6">
        <v>-0.17096280844827572</v>
      </c>
      <c r="E17" s="6">
        <v>-0.29930422931034484</v>
      </c>
      <c r="F17" s="6">
        <v>4.0697674418604723E-2</v>
      </c>
      <c r="G17" s="6">
        <v>7.7424777758621E-2</v>
      </c>
      <c r="H17" s="6">
        <v>-4.1248872068965325E-2</v>
      </c>
      <c r="I17" s="6">
        <v>5.4401701920990364E-2</v>
      </c>
      <c r="J17" s="6">
        <v>6.7829457364341206E-2</v>
      </c>
      <c r="K17" s="6">
        <v>2.5140351551724338E-2</v>
      </c>
      <c r="L17" s="6">
        <v>0.22209294293103476</v>
      </c>
      <c r="M17" s="6">
        <v>-9.5545080746409661E-2</v>
      </c>
      <c r="N17" s="10">
        <v>6.2399999999999997E-2</v>
      </c>
      <c r="O17" s="10">
        <v>-2.3599999999999996E-2</v>
      </c>
      <c r="P17" s="10">
        <v>2.7E-2</v>
      </c>
      <c r="Q17" s="10">
        <v>7.0000000000000027E-3</v>
      </c>
    </row>
    <row r="18" spans="1:17" x14ac:dyDescent="0.45">
      <c r="A18" s="5">
        <f t="shared" si="0"/>
        <v>2001</v>
      </c>
      <c r="B18" s="6">
        <v>-0.13321924617996606</v>
      </c>
      <c r="C18" s="6">
        <v>1.5948088285229201E-2</v>
      </c>
      <c r="D18" s="6">
        <v>-0.23129261799660439</v>
      </c>
      <c r="E18" s="6">
        <v>-4.3613874363327643E-2</v>
      </c>
      <c r="F18" s="6">
        <v>-0.13207547169811307</v>
      </c>
      <c r="G18" s="6">
        <v>6.7759714770798007E-2</v>
      </c>
      <c r="H18" s="6">
        <v>1.3333558573854098E-2</v>
      </c>
      <c r="I18" s="6">
        <v>4.5588358747652435E-2</v>
      </c>
      <c r="J18" s="6">
        <v>7.348560079443911E-2</v>
      </c>
      <c r="K18" s="6">
        <v>2.5671507640067981E-2</v>
      </c>
      <c r="L18" s="6">
        <v>0.10690488964346345</v>
      </c>
      <c r="M18" s="6">
        <v>-3.8655381918715204E-3</v>
      </c>
      <c r="N18" s="10">
        <v>3.8800000000000001E-2</v>
      </c>
      <c r="O18" s="10">
        <v>-2.2100000000000002E-2</v>
      </c>
      <c r="P18" s="10">
        <v>3.4000000000000002E-2</v>
      </c>
      <c r="Q18" s="10">
        <v>-1.8000000000000002E-2</v>
      </c>
    </row>
    <row r="19" spans="1:17" x14ac:dyDescent="0.45">
      <c r="A19" s="5">
        <f t="shared" si="0"/>
        <v>2002</v>
      </c>
      <c r="B19" s="6">
        <v>-0.23906171824212274</v>
      </c>
      <c r="C19" s="6">
        <v>-0.21805766567164175</v>
      </c>
      <c r="D19" s="6">
        <v>-0.17574363217247091</v>
      </c>
      <c r="E19" s="6">
        <v>-9.5789470646766128E-2</v>
      </c>
      <c r="F19" s="6">
        <v>-0.15688161693936475</v>
      </c>
      <c r="G19" s="6">
        <v>5.8035351741293706E-2</v>
      </c>
      <c r="H19" s="6">
        <v>-5.8104900497512046E-3</v>
      </c>
      <c r="I19" s="6">
        <v>4.2483711366915866E-2</v>
      </c>
      <c r="J19" s="6">
        <v>4.6198267564966367E-2</v>
      </c>
      <c r="K19" s="6">
        <v>-6.7515225538972157E-3</v>
      </c>
      <c r="L19" s="6">
        <v>1.3210400497512431E-2</v>
      </c>
      <c r="M19" s="6">
        <v>0.20780254306191415</v>
      </c>
      <c r="N19" s="10">
        <v>1.67E-2</v>
      </c>
      <c r="O19" s="10">
        <v>-5.4000000000000003E-3</v>
      </c>
      <c r="P19" s="10">
        <v>1.6E-2</v>
      </c>
      <c r="Q19" s="10">
        <v>8.0000000000000002E-3</v>
      </c>
    </row>
    <row r="20" spans="1:17" x14ac:dyDescent="0.45">
      <c r="A20" s="5">
        <f t="shared" si="0"/>
        <v>2003</v>
      </c>
      <c r="B20" s="6">
        <v>0.26221537026587072</v>
      </c>
      <c r="C20" s="6">
        <v>0.43067744009766673</v>
      </c>
      <c r="D20" s="6">
        <v>0.36107638594682556</v>
      </c>
      <c r="E20" s="6">
        <v>0.54740711584373281</v>
      </c>
      <c r="F20" s="6">
        <v>0.24215686274509785</v>
      </c>
      <c r="G20" s="6">
        <v>2.1215050623982545E-2</v>
      </c>
      <c r="H20" s="6">
        <v>0.15104147411828528</v>
      </c>
      <c r="I20" s="6">
        <v>4.2295767656119754E-3</v>
      </c>
      <c r="J20" s="6">
        <v>4.6078431372548856E-2</v>
      </c>
      <c r="K20" s="6">
        <v>-8.7230650569725121E-3</v>
      </c>
      <c r="L20" s="6">
        <v>0.33270374725990215</v>
      </c>
      <c r="M20" s="6">
        <v>0.19192172385098005</v>
      </c>
      <c r="N20" s="10">
        <v>1.1299999999999999E-2</v>
      </c>
      <c r="O20" s="10">
        <v>2.2000000000000006E-3</v>
      </c>
      <c r="P20" s="10">
        <v>2.4E-2</v>
      </c>
      <c r="Q20" s="10">
        <v>-5.000000000000001E-3</v>
      </c>
    </row>
    <row r="21" spans="1:17" x14ac:dyDescent="0.45">
      <c r="A21" s="5">
        <f t="shared" si="0"/>
        <v>2004</v>
      </c>
      <c r="B21" s="6">
        <v>7.3290758381502785E-2</v>
      </c>
      <c r="C21" s="6">
        <v>0.16232547824487642</v>
      </c>
      <c r="D21" s="6">
        <v>0.16458647025748818</v>
      </c>
      <c r="E21" s="6">
        <v>0.22142951008933265</v>
      </c>
      <c r="F21" s="6">
        <v>0.12144955925563194</v>
      </c>
      <c r="G21" s="6">
        <v>1.0417050656857496E-2</v>
      </c>
      <c r="H21" s="6">
        <v>5.1904210614818647E-2</v>
      </c>
      <c r="I21" s="6">
        <v>1.8304759509678359E-2</v>
      </c>
      <c r="J21" s="6">
        <v>4.8971596474045143E-2</v>
      </c>
      <c r="K21" s="6">
        <v>-2.011389558591703E-2</v>
      </c>
      <c r="L21" s="6">
        <v>0.26686415717288514</v>
      </c>
      <c r="M21" s="6">
        <v>1.4098032480543532E-2</v>
      </c>
      <c r="N21" s="10">
        <v>1.35E-2</v>
      </c>
      <c r="O21" s="10">
        <v>1.8700000000000001E-2</v>
      </c>
      <c r="P21" s="10">
        <v>1.9E-2</v>
      </c>
      <c r="Q21" s="10">
        <v>1.4000000000000002E-2</v>
      </c>
    </row>
    <row r="22" spans="1:17" x14ac:dyDescent="0.45">
      <c r="A22" s="5">
        <f t="shared" si="0"/>
        <v>2005</v>
      </c>
      <c r="B22" s="6">
        <v>1.4061511788617809E-2</v>
      </c>
      <c r="C22" s="6">
        <v>3.943010696138205E-2</v>
      </c>
      <c r="D22" s="6">
        <v>9.8472325813008244E-2</v>
      </c>
      <c r="E22" s="6">
        <v>0.27690062276422767</v>
      </c>
      <c r="F22" s="6">
        <v>0.21428571428571441</v>
      </c>
      <c r="G22" s="6">
        <v>-8.9782291158536642E-3</v>
      </c>
      <c r="H22" s="6">
        <v>-4.9338706300813273E-3</v>
      </c>
      <c r="I22" s="6">
        <v>1.8235911584655096E-2</v>
      </c>
      <c r="J22" s="6">
        <v>4.2074363992172126E-2</v>
      </c>
      <c r="K22" s="6">
        <v>-4.5769614329268515E-3</v>
      </c>
      <c r="L22" s="6">
        <v>8.3086454776422958E-2</v>
      </c>
      <c r="M22" s="6">
        <v>0.12972457509681079</v>
      </c>
      <c r="N22" s="10">
        <v>3.2199999999999999E-2</v>
      </c>
      <c r="O22" s="10">
        <v>1.7500000000000002E-2</v>
      </c>
      <c r="P22" s="10">
        <v>3.3000000000000002E-2</v>
      </c>
      <c r="Q22" s="10">
        <v>1.0000000000000009E-3</v>
      </c>
    </row>
    <row r="23" spans="1:17" x14ac:dyDescent="0.45">
      <c r="A23" s="5">
        <f t="shared" si="0"/>
        <v>2006</v>
      </c>
      <c r="B23" s="6">
        <v>0.12879964717542136</v>
      </c>
      <c r="C23" s="6">
        <v>0.12915521347869174</v>
      </c>
      <c r="D23" s="6">
        <v>0.2314066616451933</v>
      </c>
      <c r="E23" s="6">
        <v>0.26266567928642215</v>
      </c>
      <c r="F23" s="6">
        <v>0.15452755905511806</v>
      </c>
      <c r="G23" s="6">
        <v>1.7779676511397335E-2</v>
      </c>
      <c r="H23" s="6">
        <v>5.6931368880079436E-2</v>
      </c>
      <c r="I23" s="6">
        <v>5.2562763715113814E-3</v>
      </c>
      <c r="J23" s="6">
        <v>2.4606299212598381E-2</v>
      </c>
      <c r="K23" s="6">
        <v>2.1104796828542938E-2</v>
      </c>
      <c r="L23" s="6">
        <v>0.31806312388503488</v>
      </c>
      <c r="M23" s="6">
        <v>0.19299126263627353</v>
      </c>
      <c r="N23" s="10">
        <v>4.9700000000000001E-2</v>
      </c>
      <c r="O23" s="10">
        <v>5.0000000000000044E-4</v>
      </c>
      <c r="P23" s="10">
        <v>3.4000000000000002E-2</v>
      </c>
      <c r="Q23" s="10">
        <v>-9.0000000000000011E-3</v>
      </c>
    </row>
    <row r="24" spans="1:17" x14ac:dyDescent="0.45">
      <c r="A24" s="5">
        <f t="shared" si="0"/>
        <v>2007</v>
      </c>
      <c r="B24" s="6">
        <v>1.3344201470224304E-2</v>
      </c>
      <c r="C24" s="6">
        <v>-2.7277517092307746E-2</v>
      </c>
      <c r="D24" s="6">
        <v>6.7952010131596463E-2</v>
      </c>
      <c r="E24" s="6">
        <v>0.33638657458721366</v>
      </c>
      <c r="F24" s="6">
        <v>7.2265625E-2</v>
      </c>
      <c r="G24" s="6">
        <v>2.8204320116551607E-2</v>
      </c>
      <c r="H24" s="6">
        <v>-1.831855634272217E-2</v>
      </c>
      <c r="I24" s="6">
        <v>6.9851233117401712E-4</v>
      </c>
      <c r="J24" s="6">
        <v>1.26953125E-2</v>
      </c>
      <c r="K24" s="6">
        <v>6.6887291702375506E-3</v>
      </c>
      <c r="L24" s="6">
        <v>-0.19664805071511537</v>
      </c>
      <c r="M24" s="6">
        <v>0.25817432649641026</v>
      </c>
      <c r="N24" s="10">
        <v>5.0200000000000002E-2</v>
      </c>
      <c r="O24" s="10">
        <v>-3.1000000000000003E-2</v>
      </c>
      <c r="P24" s="10">
        <v>2.5000000000000001E-2</v>
      </c>
      <c r="Q24" s="10">
        <v>1.6E-2</v>
      </c>
    </row>
    <row r="25" spans="1:17" x14ac:dyDescent="0.45">
      <c r="A25" s="5">
        <f t="shared" si="0"/>
        <v>2008</v>
      </c>
      <c r="B25" s="6">
        <v>-0.3702659581540042</v>
      </c>
      <c r="C25" s="6">
        <v>-0.36060808669444611</v>
      </c>
      <c r="D25" s="6">
        <v>-0.41325725855927853</v>
      </c>
      <c r="E25" s="6">
        <v>-0.52801005969518811</v>
      </c>
      <c r="F25" s="6">
        <v>-0.3379446640316206</v>
      </c>
      <c r="G25" s="6">
        <v>5.0524784822193025E-2</v>
      </c>
      <c r="H25" s="6">
        <v>-0.21264664254238264</v>
      </c>
      <c r="I25" s="6">
        <v>5.5347333128489717E-2</v>
      </c>
      <c r="J25" s="6">
        <v>5.1383399209486313E-2</v>
      </c>
      <c r="K25" s="6">
        <v>2.0105392071465333E-2</v>
      </c>
      <c r="L25" s="6">
        <v>-0.37041372307780129</v>
      </c>
      <c r="M25" s="6">
        <v>5.3582389776813732E-2</v>
      </c>
      <c r="N25" s="10">
        <v>1.9199999999999998E-2</v>
      </c>
      <c r="O25" s="10">
        <v>-1.7599999999999998E-2</v>
      </c>
      <c r="P25" s="10">
        <v>4.1000000000000002E-2</v>
      </c>
      <c r="Q25" s="10">
        <v>-0.04</v>
      </c>
    </row>
    <row r="26" spans="1:17" x14ac:dyDescent="0.45">
      <c r="A26" s="5">
        <f t="shared" si="0"/>
        <v>2009</v>
      </c>
      <c r="B26" s="6">
        <v>0.23266003868691243</v>
      </c>
      <c r="C26" s="6">
        <v>0.32717672663823416</v>
      </c>
      <c r="D26" s="6">
        <v>0.24871288751510789</v>
      </c>
      <c r="E26" s="6">
        <v>0.71515933514857677</v>
      </c>
      <c r="F26" s="6">
        <v>0.33366238894373157</v>
      </c>
      <c r="G26" s="6">
        <v>3.2305742511426372E-2</v>
      </c>
      <c r="H26" s="6">
        <v>0.35575686639901094</v>
      </c>
      <c r="I26" s="6">
        <v>1.5508882038240523E-2</v>
      </c>
      <c r="J26" s="6">
        <v>4.0473840078973478E-2</v>
      </c>
      <c r="K26" s="6">
        <v>-2.4072128924884972E-2</v>
      </c>
      <c r="L26" s="6">
        <v>0.26319595528388651</v>
      </c>
      <c r="M26" s="6">
        <v>0.20177842952919445</v>
      </c>
      <c r="N26" s="10">
        <v>1.6000000000000001E-3</v>
      </c>
      <c r="O26" s="10">
        <v>1.9999999999999987E-4</v>
      </c>
      <c r="P26" s="10">
        <v>1E-3</v>
      </c>
      <c r="Q26" s="10">
        <v>2.5999999999999999E-2</v>
      </c>
    </row>
    <row r="27" spans="1:17" x14ac:dyDescent="0.45">
      <c r="A27" s="5">
        <f t="shared" si="0"/>
        <v>2010</v>
      </c>
      <c r="B27" s="6">
        <v>0.13354578894191516</v>
      </c>
      <c r="C27" s="6">
        <v>0.26003565032553322</v>
      </c>
      <c r="D27" s="6">
        <v>6.7608133960826766E-2</v>
      </c>
      <c r="E27" s="6">
        <v>0.17239225323593987</v>
      </c>
      <c r="F27" s="6">
        <v>0.1484375</v>
      </c>
      <c r="G27" s="6">
        <v>4.9682551120773466E-2</v>
      </c>
      <c r="H27" s="6">
        <v>0.10873351200571224</v>
      </c>
      <c r="I27" s="6">
        <v>1.6500291231071662E-2</v>
      </c>
      <c r="J27" s="6">
        <v>4.19921875E-2</v>
      </c>
      <c r="K27" s="6">
        <v>-1.4629419602242844E-2</v>
      </c>
      <c r="L27" s="6">
        <v>0.26593855912975251</v>
      </c>
      <c r="M27" s="6">
        <v>0.26047635854894868</v>
      </c>
      <c r="N27" s="10">
        <v>1.8E-3</v>
      </c>
      <c r="O27" s="10">
        <v>-7.9999999999999993E-4</v>
      </c>
      <c r="P27" s="10">
        <v>2.7E-2</v>
      </c>
      <c r="Q27" s="10">
        <v>-1.2E-2</v>
      </c>
    </row>
    <row r="28" spans="1:17" x14ac:dyDescent="0.45">
      <c r="A28" s="5">
        <f t="shared" si="0"/>
        <v>2011</v>
      </c>
      <c r="B28" s="6">
        <v>-8.5232928161226296E-3</v>
      </c>
      <c r="C28" s="6">
        <v>-5.4904876053741836E-2</v>
      </c>
      <c r="D28" s="6">
        <v>-0.15029803124756291</v>
      </c>
      <c r="E28" s="6">
        <v>-0.21009810266271411</v>
      </c>
      <c r="F28" s="6">
        <v>-0.10752688172043001</v>
      </c>
      <c r="G28" s="6">
        <v>4.5868688868357488E-2</v>
      </c>
      <c r="H28" s="6">
        <v>4.155866968875177E-2</v>
      </c>
      <c r="I28" s="6">
        <v>8.3825060897861903E-3</v>
      </c>
      <c r="J28" s="6">
        <v>7.2336265884653139E-2</v>
      </c>
      <c r="K28" s="6">
        <v>-2.8623636448473877E-2</v>
      </c>
      <c r="L28" s="6">
        <v>5.4919564036743473E-2</v>
      </c>
      <c r="M28" s="6">
        <v>5.534467059980841E-2</v>
      </c>
      <c r="N28" s="10">
        <v>1E-3</v>
      </c>
      <c r="O28" s="10">
        <v>3.9999999999999996E-4</v>
      </c>
      <c r="P28" s="10">
        <v>1.4999999999999999E-2</v>
      </c>
      <c r="Q28" s="10">
        <v>1.4999999999999999E-2</v>
      </c>
    </row>
    <row r="29" spans="1:17" x14ac:dyDescent="0.45">
      <c r="A29" s="5">
        <f t="shared" si="0"/>
        <v>2012</v>
      </c>
      <c r="B29" s="6">
        <v>0.13980150090983923</v>
      </c>
      <c r="C29" s="6">
        <v>0.16217074732601344</v>
      </c>
      <c r="D29" s="6">
        <v>0.16532621001476477</v>
      </c>
      <c r="E29" s="6">
        <v>0.16824686083074569</v>
      </c>
      <c r="F29" s="6">
        <v>6.3492063492063489E-2</v>
      </c>
      <c r="G29" s="6">
        <v>2.3689437899660826E-2</v>
      </c>
      <c r="H29" s="6">
        <v>0.12509091549252838</v>
      </c>
      <c r="I29" s="6">
        <v>4.5271080246926942E-2</v>
      </c>
      <c r="J29" s="6">
        <v>2.7777777777777901E-2</v>
      </c>
      <c r="K29" s="6">
        <v>-1.6956998549657709E-2</v>
      </c>
      <c r="L29" s="6">
        <v>0.15671591713973365</v>
      </c>
      <c r="M29" s="6">
        <v>6.5178995422493724E-2</v>
      </c>
      <c r="N29" s="10">
        <v>1.4E-3</v>
      </c>
      <c r="O29" s="10">
        <v>-2.9999999999999992E-4</v>
      </c>
      <c r="P29" s="10">
        <v>0.03</v>
      </c>
      <c r="Q29" s="10">
        <v>-1.2999999999999998E-2</v>
      </c>
    </row>
    <row r="30" spans="1:17" x14ac:dyDescent="0.45">
      <c r="A30" s="5">
        <f t="shared" si="0"/>
        <v>2013</v>
      </c>
      <c r="B30" s="6">
        <v>0.30375209046595342</v>
      </c>
      <c r="C30" s="6">
        <v>0.3577516597003203</v>
      </c>
      <c r="D30" s="6">
        <v>0.20256160404421375</v>
      </c>
      <c r="E30" s="6">
        <v>-6.4299349954730634E-2</v>
      </c>
      <c r="F30" s="6">
        <v>0.11660079051383399</v>
      </c>
      <c r="G30" s="6">
        <v>-3.5931165091461548E-2</v>
      </c>
      <c r="H30" s="6">
        <v>3.0933307309621405E-2</v>
      </c>
      <c r="I30" s="6">
        <v>-3.5029589846032883E-3</v>
      </c>
      <c r="J30" s="6">
        <v>-2.371541501976282E-2</v>
      </c>
      <c r="K30" s="6">
        <v>-1.4677045771919306E-2</v>
      </c>
      <c r="L30" s="6">
        <v>9.0054064080942187E-3</v>
      </c>
      <c r="M30" s="6">
        <v>-0.29025124979167483</v>
      </c>
      <c r="N30" s="10">
        <v>1.1000000000000001E-3</v>
      </c>
      <c r="O30" s="10">
        <v>-2.0000000000000009E-4</v>
      </c>
      <c r="P30" s="10">
        <v>1.7000000000000001E-2</v>
      </c>
      <c r="Q30" s="10">
        <v>-2.0000000000000018E-3</v>
      </c>
    </row>
    <row r="31" spans="1:17" x14ac:dyDescent="0.45">
      <c r="A31" s="5">
        <f t="shared" si="0"/>
        <v>2014</v>
      </c>
      <c r="B31" s="6">
        <v>0.12788949190458743</v>
      </c>
      <c r="C31" s="6">
        <v>6.6940665672963862E-2</v>
      </c>
      <c r="D31" s="6">
        <v>-6.3715926004633605E-2</v>
      </c>
      <c r="E31" s="6">
        <v>-1.5138802940224405E-3</v>
      </c>
      <c r="F31" s="6">
        <v>8.9655172413793283E-2</v>
      </c>
      <c r="G31" s="6">
        <v>5.0993306372757896E-2</v>
      </c>
      <c r="H31" s="6">
        <v>3.9014525047271764E-2</v>
      </c>
      <c r="I31" s="6">
        <v>8.007153155630875E-2</v>
      </c>
      <c r="J31" s="6">
        <v>7.1921182266009964E-2</v>
      </c>
      <c r="K31" s="6">
        <v>-7.4162294201317591E-3</v>
      </c>
      <c r="L31" s="6">
        <v>0.29336964567867052</v>
      </c>
      <c r="M31" s="6">
        <v>-1.1855744785189914E-2</v>
      </c>
      <c r="N31" s="10">
        <v>8.9999999999999998E-4</v>
      </c>
      <c r="O31" s="10">
        <v>3.9999999999999996E-4</v>
      </c>
      <c r="P31" s="10">
        <v>1.4999999999999999E-2</v>
      </c>
      <c r="Q31" s="10">
        <v>-6.9999999999999993E-3</v>
      </c>
    </row>
    <row r="32" spans="1:17" x14ac:dyDescent="0.45">
      <c r="A32" s="5">
        <f t="shared" si="0"/>
        <v>2015</v>
      </c>
      <c r="B32" s="6">
        <v>6.2877120361906069E-3</v>
      </c>
      <c r="C32" s="6">
        <v>-4.3394804177824708E-2</v>
      </c>
      <c r="D32" s="6">
        <v>-9.0511876555965376E-3</v>
      </c>
      <c r="E32" s="6">
        <v>-0.15959387893626453</v>
      </c>
      <c r="F32" s="6">
        <v>-9.7440944881889702E-2</v>
      </c>
      <c r="G32" s="6">
        <v>-3.282809118359431E-3</v>
      </c>
      <c r="H32" s="6">
        <v>-2.0132934122481627E-2</v>
      </c>
      <c r="I32" s="6">
        <v>3.2947661684812335E-3</v>
      </c>
      <c r="J32" s="6">
        <v>1.870078740157477E-2</v>
      </c>
      <c r="K32" s="6">
        <v>-7.0314718817883204E-3</v>
      </c>
      <c r="L32" s="6">
        <v>1.6475599382221873E-2</v>
      </c>
      <c r="M32" s="6">
        <v>-0.12286717749007492</v>
      </c>
      <c r="N32" s="10">
        <v>1.2999999999999999E-3</v>
      </c>
      <c r="O32" s="10">
        <v>2.5999999999999999E-3</v>
      </c>
      <c r="P32" s="10">
        <v>8.0000000000000002E-3</v>
      </c>
      <c r="Q32" s="10">
        <v>-1E-3</v>
      </c>
    </row>
    <row r="33" spans="1:17" x14ac:dyDescent="0.45">
      <c r="A33" s="5">
        <f t="shared" si="0"/>
        <v>2016</v>
      </c>
      <c r="B33" s="6">
        <v>9.6513978314805016E-2</v>
      </c>
      <c r="C33" s="6">
        <v>0.15898820419724791</v>
      </c>
      <c r="D33" s="6">
        <v>3.6949915576642844E-3</v>
      </c>
      <c r="E33" s="6">
        <v>9.460274909912525E-2</v>
      </c>
      <c r="F33" s="6">
        <v>0.19310344827586223</v>
      </c>
      <c r="G33" s="6">
        <v>5.1054498771909707E-3</v>
      </c>
      <c r="H33" s="6">
        <v>9.0407808270030587E-2</v>
      </c>
      <c r="I33" s="6">
        <v>2.5298422008060317E-2</v>
      </c>
      <c r="J33" s="6">
        <v>1.9704433497536034E-3</v>
      </c>
      <c r="K33" s="6">
        <v>-1.7827743027022169E-2</v>
      </c>
      <c r="L33" s="6">
        <v>6.2949739443197261E-2</v>
      </c>
      <c r="M33" s="6">
        <v>6.6342815927466159E-2</v>
      </c>
      <c r="N33" s="10">
        <v>3.8999999999999998E-3</v>
      </c>
      <c r="O33" s="10">
        <v>6.1000000000000004E-3</v>
      </c>
      <c r="P33" s="10">
        <v>7.0000000000000001E-3</v>
      </c>
      <c r="Q33" s="10">
        <v>1.4000000000000002E-2</v>
      </c>
    </row>
    <row r="34" spans="1:17" x14ac:dyDescent="0.45">
      <c r="A34" s="5">
        <f t="shared" si="0"/>
        <v>2017</v>
      </c>
      <c r="B34" s="6">
        <v>0.19270296087845384</v>
      </c>
      <c r="C34" s="6">
        <v>0.13836367131151506</v>
      </c>
      <c r="D34" s="6">
        <v>0.23786035420973195</v>
      </c>
      <c r="E34" s="6">
        <v>0.28666161536337209</v>
      </c>
      <c r="F34" s="6">
        <v>7.065750736015719E-2</v>
      </c>
      <c r="G34" s="6">
        <v>1.4188498126916471E-2</v>
      </c>
      <c r="H34" s="6">
        <v>4.9169020069120828E-2</v>
      </c>
      <c r="I34" s="6">
        <v>2.7625899537568888E-3</v>
      </c>
      <c r="J34" s="6">
        <v>5.8881256133465065E-3</v>
      </c>
      <c r="K34" s="6">
        <v>-1.289371564861852E-2</v>
      </c>
      <c r="L34" s="6">
        <v>2.769376099462928E-2</v>
      </c>
      <c r="M34" s="6">
        <v>9.2722648132595564E-2</v>
      </c>
      <c r="N34" s="10">
        <v>0.01</v>
      </c>
      <c r="O34" s="10">
        <v>7.899999999999999E-3</v>
      </c>
      <c r="P34" s="10">
        <v>2.1000000000000001E-2</v>
      </c>
      <c r="Q34" s="10">
        <v>0</v>
      </c>
    </row>
    <row r="35" spans="1:17" x14ac:dyDescent="0.45">
      <c r="A35" s="5">
        <f t="shared" si="0"/>
        <v>2018</v>
      </c>
      <c r="B35" s="6">
        <v>-6.21894904319098E-2</v>
      </c>
      <c r="C35" s="6">
        <v>-0.11013447506545726</v>
      </c>
      <c r="D35" s="6">
        <v>-0.16058722735325381</v>
      </c>
      <c r="E35" s="6">
        <v>-0.16177490090187197</v>
      </c>
      <c r="F35" s="6">
        <v>-0.10686274509803917</v>
      </c>
      <c r="G35" s="6">
        <v>-1.9011636038259283E-2</v>
      </c>
      <c r="H35" s="6">
        <v>-4.6881203038135921E-2</v>
      </c>
      <c r="I35" s="6">
        <v>9.9703421410404225E-3</v>
      </c>
      <c r="J35" s="6">
        <v>-5.8823529411764497E-3</v>
      </c>
      <c r="K35" s="6">
        <v>-1.1127138836060091E-3</v>
      </c>
      <c r="L35" s="6">
        <v>-7.7123605118754268E-2</v>
      </c>
      <c r="M35" s="6">
        <v>-3.2423871044488628E-2</v>
      </c>
      <c r="N35" s="10">
        <v>1.7899999999999999E-2</v>
      </c>
      <c r="O35" s="10">
        <v>3.7000000000000019E-3</v>
      </c>
      <c r="P35" s="10">
        <v>2.1000000000000001E-2</v>
      </c>
      <c r="Q35" s="10">
        <v>-2.0000000000000018E-3</v>
      </c>
    </row>
    <row r="36" spans="1:17" x14ac:dyDescent="0.45">
      <c r="A36" s="5">
        <f t="shared" si="0"/>
        <v>2019</v>
      </c>
      <c r="B36" s="6">
        <v>0.28519129157868117</v>
      </c>
      <c r="C36" s="6">
        <v>0.24521884386914627</v>
      </c>
      <c r="D36" s="6">
        <v>0.19322385678243714</v>
      </c>
      <c r="E36" s="6">
        <v>0.17617900378738716</v>
      </c>
      <c r="F36" s="6">
        <v>0.20254403131115462</v>
      </c>
      <c r="G36" s="6">
        <v>6.2852530726727363E-2</v>
      </c>
      <c r="H36" s="6">
        <v>0.13316334734564594</v>
      </c>
      <c r="I36" s="6">
        <v>5.4684813658541165E-2</v>
      </c>
      <c r="J36" s="6">
        <v>4.5988258317025466E-2</v>
      </c>
      <c r="K36" s="6">
        <v>-1.4667307017440789E-3</v>
      </c>
      <c r="L36" s="6">
        <v>0.26058208390210691</v>
      </c>
      <c r="M36" s="6">
        <v>0.15888934492403894</v>
      </c>
      <c r="N36" s="10">
        <v>2.1600000000000001E-2</v>
      </c>
      <c r="O36" s="10">
        <v>-1.8000000000000002E-2</v>
      </c>
      <c r="P36" s="10">
        <v>1.9E-2</v>
      </c>
      <c r="Q36" s="10">
        <v>4.0000000000000001E-3</v>
      </c>
    </row>
    <row r="37" spans="1:17" x14ac:dyDescent="0.45">
      <c r="A37" s="5">
        <f t="shared" si="0"/>
        <v>2020</v>
      </c>
      <c r="B37" s="6">
        <v>0.16725838264299808</v>
      </c>
      <c r="C37" s="6">
        <v>0.17465483234713997</v>
      </c>
      <c r="D37" s="6">
        <v>8.7278106508875686E-2</v>
      </c>
      <c r="E37" s="6">
        <v>0.13639053254437861</v>
      </c>
      <c r="F37" s="6">
        <v>6.1693430656934556E-2</v>
      </c>
      <c r="G37" s="6">
        <v>6.0552268244575824E-2</v>
      </c>
      <c r="H37" s="6">
        <v>3.9349112426035449E-2</v>
      </c>
      <c r="I37" s="6">
        <v>3.096646942800807E-2</v>
      </c>
      <c r="J37" s="6">
        <v>7.5491970802919584E-2</v>
      </c>
      <c r="K37" s="6">
        <v>-9.1715976331361304E-3</v>
      </c>
      <c r="L37" s="6">
        <v>-6.0059171597633076E-2</v>
      </c>
      <c r="M37" s="6">
        <v>0.23303747534516761</v>
      </c>
      <c r="N37" s="10">
        <v>3.5999999999999999E-3</v>
      </c>
      <c r="O37" s="10">
        <v>-2.8E-3</v>
      </c>
      <c r="P37" s="10">
        <v>2.3E-2</v>
      </c>
      <c r="Q37" s="10">
        <v>-8.9999999999999993E-3</v>
      </c>
    </row>
    <row r="38" spans="1:17" x14ac:dyDescent="0.45">
      <c r="A38" s="5">
        <f t="shared" si="0"/>
        <v>2021</v>
      </c>
      <c r="B38" s="6">
        <v>0.20233644859813071</v>
      </c>
      <c r="C38" s="6">
        <v>0.10028037383177568</v>
      </c>
      <c r="D38" s="6">
        <v>4.0747663551401692E-2</v>
      </c>
      <c r="E38" s="6">
        <v>-5.7663551401869184E-2</v>
      </c>
      <c r="F38" s="6">
        <v>0.1747749999999999</v>
      </c>
      <c r="G38" s="6">
        <v>-8.2897196261682349E-2</v>
      </c>
      <c r="H38" s="6">
        <v>-3.0000000000000027E-2</v>
      </c>
      <c r="I38" s="6">
        <v>-9.1869158878504664E-2</v>
      </c>
      <c r="J38" s="6">
        <v>-7.3347222222222341E-2</v>
      </c>
      <c r="K38" s="6">
        <v>-6.5327102803738435E-2</v>
      </c>
      <c r="L38" s="6">
        <v>0.3117757009345794</v>
      </c>
      <c r="M38" s="6">
        <v>-0.10280373831775713</v>
      </c>
      <c r="N38" s="10">
        <v>8.0000000000000004E-4</v>
      </c>
      <c r="O38" s="10">
        <v>1.6E-2</v>
      </c>
      <c r="P38" s="10">
        <v>1.4E-2</v>
      </c>
      <c r="Q38" s="10">
        <v>5.6000000000000008E-2</v>
      </c>
    </row>
    <row r="39" spans="1:17" x14ac:dyDescent="0.45">
      <c r="A39" s="5">
        <f t="shared" si="0"/>
        <v>2022</v>
      </c>
      <c r="B39" s="6">
        <v>-0.23576097105508864</v>
      </c>
      <c r="C39" s="6">
        <v>-0.23071895424836597</v>
      </c>
      <c r="D39" s="6">
        <v>-0.20924369747899152</v>
      </c>
      <c r="E39" s="6">
        <v>-0.23230625583566755</v>
      </c>
      <c r="F39" s="6">
        <v>-0.11408491182233826</v>
      </c>
      <c r="G39" s="6">
        <v>-0.1899159663865545</v>
      </c>
      <c r="H39" s="6">
        <v>-0.15014005602240887</v>
      </c>
      <c r="I39" s="6">
        <v>-0.18674136321195145</v>
      </c>
      <c r="J39" s="6">
        <v>-0.16863749183540155</v>
      </c>
      <c r="K39" s="6">
        <v>-5.2287581699346442E-2</v>
      </c>
      <c r="L39" s="6">
        <v>-0.31092436974789917</v>
      </c>
      <c r="M39" s="6">
        <v>-7.21755368814192E-2</v>
      </c>
      <c r="N39" s="10">
        <v>1.6799999999999999E-2</v>
      </c>
      <c r="O39" s="10">
        <v>3.3500000000000002E-2</v>
      </c>
      <c r="P39" s="10">
        <v>7.0000000000000007E-2</v>
      </c>
      <c r="Q39" s="10">
        <v>-5.0000000000000044E-3</v>
      </c>
    </row>
    <row r="40" spans="1:17" x14ac:dyDescent="0.45">
      <c r="A40" s="5">
        <f t="shared" si="0"/>
        <v>2023</v>
      </c>
      <c r="B40" s="6">
        <v>0.22088974854932286</v>
      </c>
      <c r="C40" s="6">
        <v>0.15560928433268861</v>
      </c>
      <c r="D40" s="6">
        <v>0.13752417794970984</v>
      </c>
      <c r="E40" s="6">
        <v>5.1837524177949623E-2</v>
      </c>
      <c r="F40" s="6">
        <v>8.0597789008212128E-2</v>
      </c>
      <c r="G40" s="6">
        <v>2.2533849129593664E-2</v>
      </c>
      <c r="H40" s="6">
        <v>8.0754352030947718E-2</v>
      </c>
      <c r="I40" s="6">
        <v>5.1934235976788923E-2</v>
      </c>
      <c r="J40" s="6">
        <v>2.9048641819330312E-2</v>
      </c>
      <c r="K40" s="6">
        <v>1.5957446808510634E-2</v>
      </c>
      <c r="L40" s="6">
        <v>9.3617021276595658E-2</v>
      </c>
      <c r="M40" s="6">
        <v>9.1295938104448693E-2</v>
      </c>
      <c r="N40" s="10">
        <v>5.0299999999999997E-2</v>
      </c>
      <c r="O40" s="10">
        <v>1.1999999999999997E-3</v>
      </c>
      <c r="P40" s="10">
        <v>6.5000000000000002E-2</v>
      </c>
      <c r="Q40" s="10">
        <v>-3.1E-2</v>
      </c>
    </row>
    <row r="41" spans="1:17" x14ac:dyDescent="0.45">
      <c r="A41" s="5">
        <f t="shared" si="0"/>
        <v>2024</v>
      </c>
      <c r="B41" s="6">
        <v>0.21448007774538391</v>
      </c>
      <c r="C41" s="6">
        <v>9.7862001943634702E-2</v>
      </c>
      <c r="D41" s="6">
        <v>1.1661807580176653E-3</v>
      </c>
      <c r="E41" s="6">
        <v>8.172983479105933E-2</v>
      </c>
      <c r="F41" s="6">
        <v>0.18881538936959208</v>
      </c>
      <c r="G41" s="6">
        <v>-1.6132167152575261E-2</v>
      </c>
      <c r="H41" s="6">
        <v>3.3819241982507409E-2</v>
      </c>
      <c r="I41" s="6">
        <v>7.968901846452825E-3</v>
      </c>
      <c r="J41" s="6">
        <v>2.2003584672434906E-2</v>
      </c>
      <c r="K41" s="6">
        <v>2.2837706511176004E-2</v>
      </c>
      <c r="L41" s="6">
        <v>7.1914480077746035E-3</v>
      </c>
      <c r="M41" s="6">
        <v>0.23275024295432467</v>
      </c>
      <c r="N41" s="10">
        <v>5.1499999999999997E-2</v>
      </c>
      <c r="O41" s="10">
        <v>1.1999999999999997E-3</v>
      </c>
      <c r="P41" s="10">
        <v>3.4000000000000002E-2</v>
      </c>
      <c r="Q41" s="10">
        <v>-5.000000000000001E-3</v>
      </c>
    </row>
    <row r="42" spans="1:17" x14ac:dyDescent="0.45">
      <c r="N42" s="8"/>
      <c r="P42" s="10">
        <v>2.9000000000000001E-2</v>
      </c>
      <c r="Q42" s="7">
        <v>-2.9000000000000001E-2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 Irwin</dc:creator>
  <cp:lastModifiedBy>Stacy Irwin</cp:lastModifiedBy>
  <dcterms:created xsi:type="dcterms:W3CDTF">2026-09-26T12:18:43Z</dcterms:created>
  <dcterms:modified xsi:type="dcterms:W3CDTF">2026-09-26T12:50:29Z</dcterms:modified>
</cp:coreProperties>
</file>